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АСППР\"/>
    </mc:Choice>
  </mc:AlternateContent>
  <xr:revisionPtr revIDLastSave="0" documentId="13_ncr:1_{7D71DA57-BE48-4DE5-9314-D309737398A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W = ПР1В" sheetId="1" r:id="rId1"/>
    <sheet name="W = ПР2" sheetId="2" r:id="rId2"/>
    <sheet name="Z = ПР2" sheetId="3" r:id="rId3"/>
    <sheet name="Z = ПР1В" sheetId="4" r:id="rId4"/>
  </sheets>
  <definedNames>
    <definedName name="solver_adj" localSheetId="0" hidden="1">'W = ПР1В'!$B$2:$D$2</definedName>
    <definedName name="solver_adj" localSheetId="1" hidden="1">'W = ПР2'!$B$2:$C$2</definedName>
    <definedName name="solver_adj" localSheetId="3" hidden="1">'Z = ПР1В'!$B$2:$E$2</definedName>
    <definedName name="solver_adj" localSheetId="2" hidden="1">'Z = ПР2'!$B$2:$C$2</definedName>
    <definedName name="solver_cvg" localSheetId="0" hidden="1">0.0001</definedName>
    <definedName name="solver_cvg" localSheetId="1" hidden="1">0.0001</definedName>
    <definedName name="solver_cvg" localSheetId="3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3" hidden="1">1</definedName>
    <definedName name="solver_drv" localSheetId="2" hidden="1">1</definedName>
    <definedName name="solver_eng" localSheetId="0" hidden="1">2</definedName>
    <definedName name="solver_eng" localSheetId="1" hidden="1">2</definedName>
    <definedName name="solver_eng" localSheetId="3" hidden="1">2</definedName>
    <definedName name="solver_eng" localSheetId="2" hidden="1">2</definedName>
    <definedName name="solver_est" localSheetId="0" hidden="1">1</definedName>
    <definedName name="solver_est" localSheetId="1" hidden="1">1</definedName>
    <definedName name="solver_est" localSheetId="3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3" hidden="1">2147483647</definedName>
    <definedName name="solver_itr" localSheetId="2" hidden="1">2147483647</definedName>
    <definedName name="solver_lhs1" localSheetId="0" hidden="1">'W = ПР1В'!$B$2:$D$2</definedName>
    <definedName name="solver_lhs1" localSheetId="1" hidden="1">'W = ПР2'!$B$6</definedName>
    <definedName name="solver_lhs1" localSheetId="3" hidden="1">'Z = ПР1В'!$B$2:$E$2</definedName>
    <definedName name="solver_lhs1" localSheetId="2" hidden="1">'Z = ПР2'!$B$6</definedName>
    <definedName name="solver_lhs2" localSheetId="0" hidden="1">'W = ПР1В'!$B$6</definedName>
    <definedName name="solver_lhs2" localSheetId="1" hidden="1">'W = ПР2'!$B$7</definedName>
    <definedName name="solver_lhs2" localSheetId="3" hidden="1">'Z = ПР1В'!$B$6</definedName>
    <definedName name="solver_lhs2" localSheetId="2" hidden="1">'Z = ПР2'!$B$7</definedName>
    <definedName name="solver_lhs3" localSheetId="0" hidden="1">'W = ПР1В'!$B$7</definedName>
    <definedName name="solver_lhs3" localSheetId="3" hidden="1">'Z = ПР1В'!$B$7</definedName>
    <definedName name="solver_lhs4" localSheetId="0" hidden="1">'W = ПР1В'!$B$8</definedName>
    <definedName name="solver_lhs4" localSheetId="3" hidden="1">'Z = ПР1В'!$B$8</definedName>
    <definedName name="solver_lhs5" localSheetId="0" hidden="1">'W = ПР1В'!$B$9</definedName>
    <definedName name="solver_lhs5" localSheetId="3" hidden="1">'Z = ПР1В'!$B$9</definedName>
    <definedName name="solver_mip" localSheetId="0" hidden="1">2147483647</definedName>
    <definedName name="solver_mip" localSheetId="1" hidden="1">2147483647</definedName>
    <definedName name="solver_mip" localSheetId="3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3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3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3" hidden="1">2</definedName>
    <definedName name="solver_msl" localSheetId="2" hidden="1">2</definedName>
    <definedName name="solver_neg" localSheetId="0" hidden="1">2</definedName>
    <definedName name="solver_neg" localSheetId="1" hidden="1">2</definedName>
    <definedName name="solver_neg" localSheetId="3" hidden="1">2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3" hidden="1">2147483647</definedName>
    <definedName name="solver_nod" localSheetId="2" hidden="1">2147483647</definedName>
    <definedName name="solver_num" localSheetId="0" hidden="1">5</definedName>
    <definedName name="solver_num" localSheetId="1" hidden="1">2</definedName>
    <definedName name="solver_num" localSheetId="3" hidden="1">4</definedName>
    <definedName name="solver_num" localSheetId="2" hidden="1">2</definedName>
    <definedName name="solver_nwt" localSheetId="0" hidden="1">1</definedName>
    <definedName name="solver_nwt" localSheetId="1" hidden="1">1</definedName>
    <definedName name="solver_nwt" localSheetId="3" hidden="1">1</definedName>
    <definedName name="solver_nwt" localSheetId="2" hidden="1">1</definedName>
    <definedName name="solver_opt" localSheetId="0" hidden="1">'W = ПР1В'!$B$4</definedName>
    <definedName name="solver_opt" localSheetId="1" hidden="1">'W = ПР2'!$B$4</definedName>
    <definedName name="solver_opt" localSheetId="3" hidden="1">'Z = ПР1В'!$B$4</definedName>
    <definedName name="solver_opt" localSheetId="2" hidden="1">'Z = ПР2'!$B$4</definedName>
    <definedName name="solver_pre" localSheetId="0" hidden="1">0.000001</definedName>
    <definedName name="solver_pre" localSheetId="1" hidden="1">0.000001</definedName>
    <definedName name="solver_pre" localSheetId="3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3" hidden="1">1</definedName>
    <definedName name="solver_rbv" localSheetId="2" hidden="1">1</definedName>
    <definedName name="solver_rel1" localSheetId="0" hidden="1">1</definedName>
    <definedName name="solver_rel1" localSheetId="1" hidden="1">3</definedName>
    <definedName name="solver_rel1" localSheetId="3" hidden="1">3</definedName>
    <definedName name="solver_rel1" localSheetId="2" hidden="1">2</definedName>
    <definedName name="solver_rel2" localSheetId="0" hidden="1">1</definedName>
    <definedName name="solver_rel2" localSheetId="1" hidden="1">3</definedName>
    <definedName name="solver_rel2" localSheetId="3" hidden="1">1</definedName>
    <definedName name="solver_rel2" localSheetId="2" hidden="1">1</definedName>
    <definedName name="solver_rel3" localSheetId="0" hidden="1">1</definedName>
    <definedName name="solver_rel3" localSheetId="3" hidden="1">1</definedName>
    <definedName name="solver_rel4" localSheetId="0" hidden="1">1</definedName>
    <definedName name="solver_rel4" localSheetId="3" hidden="1">1</definedName>
    <definedName name="solver_rel5" localSheetId="0" hidden="1">1</definedName>
    <definedName name="solver_rel5" localSheetId="3" hidden="1">1</definedName>
    <definedName name="solver_rhs1" localSheetId="0" hidden="1">0</definedName>
    <definedName name="solver_rhs1" localSheetId="1" hidden="1">1</definedName>
    <definedName name="solver_rhs1" localSheetId="3" hidden="1">0</definedName>
    <definedName name="solver_rhs1" localSheetId="2" hidden="1">4</definedName>
    <definedName name="solver_rhs2" localSheetId="0" hidden="1">1</definedName>
    <definedName name="solver_rhs2" localSheetId="1" hidden="1">3</definedName>
    <definedName name="solver_rhs2" localSheetId="3" hidden="1">6</definedName>
    <definedName name="solver_rhs2" localSheetId="2" hidden="1">4</definedName>
    <definedName name="solver_rhs3" localSheetId="0" hidden="1">0</definedName>
    <definedName name="solver_rhs3" localSheetId="3" hidden="1">5</definedName>
    <definedName name="solver_rhs4" localSheetId="0" hidden="1">-1</definedName>
    <definedName name="solver_rhs4" localSheetId="3" hidden="1">10</definedName>
    <definedName name="solver_rhs5" localSheetId="0" hidden="1">1</definedName>
    <definedName name="solver_rhs5" localSheetId="3" hidden="1">2</definedName>
    <definedName name="solver_rlx" localSheetId="0" hidden="1">2</definedName>
    <definedName name="solver_rlx" localSheetId="1" hidden="1">2</definedName>
    <definedName name="solver_rlx" localSheetId="3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3" hidden="1">0</definedName>
    <definedName name="solver_rsd" localSheetId="2" hidden="1">0</definedName>
    <definedName name="solver_scl" localSheetId="0" hidden="1">1</definedName>
    <definedName name="solver_scl" localSheetId="1" hidden="1">1</definedName>
    <definedName name="solver_scl" localSheetId="3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3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3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3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3" hidden="1">0.01</definedName>
    <definedName name="solver_tol" localSheetId="2" hidden="1">0.01</definedName>
    <definedName name="solver_typ" localSheetId="0" hidden="1">1</definedName>
    <definedName name="solver_typ" localSheetId="1" hidden="1">2</definedName>
    <definedName name="solver_typ" localSheetId="3" hidden="1">2</definedName>
    <definedName name="solver_typ" localSheetId="2" hidden="1">1</definedName>
    <definedName name="solver_val" localSheetId="0" hidden="1">0</definedName>
    <definedName name="solver_val" localSheetId="1" hidden="1">0</definedName>
    <definedName name="solver_val" localSheetId="3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3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4" l="1"/>
  <c r="B7" i="4"/>
  <c r="B6" i="4"/>
  <c r="B4" i="4"/>
  <c r="B7" i="3"/>
  <c r="B6" i="3"/>
  <c r="B4" i="3"/>
  <c r="B7" i="2"/>
  <c r="B6" i="2"/>
  <c r="B4" i="2"/>
  <c r="B6" i="1"/>
  <c r="B4" i="1"/>
  <c r="B9" i="1"/>
  <c r="B8" i="1"/>
  <c r="B7" i="1"/>
</calcChain>
</file>

<file path=xl/sharedStrings.xml><?xml version="1.0" encoding="utf-8"?>
<sst xmlns="http://schemas.openxmlformats.org/spreadsheetml/2006/main" count="26" uniqueCount="13">
  <si>
    <t>y1</t>
  </si>
  <si>
    <t>y2</t>
  </si>
  <si>
    <t>y3</t>
  </si>
  <si>
    <t>W</t>
  </si>
  <si>
    <t>Обм. 1</t>
  </si>
  <si>
    <t>Обм. 2</t>
  </si>
  <si>
    <t>Обм. 3</t>
  </si>
  <si>
    <t>Обм. 4</t>
  </si>
  <si>
    <t>x1</t>
  </si>
  <si>
    <t>x2</t>
  </si>
  <si>
    <t>Z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</si>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</sst>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E15" sqref="E15"/>
    </sheetView>
  </sheetViews>
  <sheetFormatPr defaultRowHeight="14.5" x14ac:dyDescent="0.35"/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B2">
        <v>0</v>
      </c>
      <c r="C2">
        <v>0</v>
      </c>
      <c r="D2">
        <v>0</v>
      </c>
    </row>
    <row r="4" spans="1:4" x14ac:dyDescent="0.35">
      <c r="A4" t="s">
        <v>3</v>
      </c>
      <c r="B4">
        <f>6*B2 + 5*C2 + 10*D2</f>
        <v>0</v>
      </c>
    </row>
    <row r="6" spans="1:4" x14ac:dyDescent="0.35">
      <c r="A6" s="1" t="s">
        <v>4</v>
      </c>
      <c r="B6">
        <f>B2 + C2 + 2*D2</f>
        <v>0</v>
      </c>
    </row>
    <row r="7" spans="1:4" x14ac:dyDescent="0.35">
      <c r="A7" s="1" t="s">
        <v>5</v>
      </c>
      <c r="B7">
        <f>B2 + C2 - D2</f>
        <v>0</v>
      </c>
    </row>
    <row r="8" spans="1:4" x14ac:dyDescent="0.35">
      <c r="A8" s="1" t="s">
        <v>6</v>
      </c>
      <c r="B8">
        <f>-B2 + C2 + 3*D2</f>
        <v>0</v>
      </c>
    </row>
    <row r="9" spans="1:4" x14ac:dyDescent="0.35">
      <c r="A9" s="1" t="s">
        <v>7</v>
      </c>
      <c r="B9">
        <f>-2*B2 - C2 + 4*D2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369B-A134-4733-A28A-5ED4AFA23550}">
  <dimension ref="A1:C9"/>
  <sheetViews>
    <sheetView workbookViewId="0">
      <selection activeCell="B4" sqref="B4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B2">
        <v>0</v>
      </c>
      <c r="C2">
        <v>0</v>
      </c>
    </row>
    <row r="4" spans="1:3" x14ac:dyDescent="0.35">
      <c r="A4" t="s">
        <v>3</v>
      </c>
      <c r="B4">
        <f>4*B2 + 4*C2</f>
        <v>0</v>
      </c>
    </row>
    <row r="6" spans="1:3" x14ac:dyDescent="0.35">
      <c r="A6" s="1" t="s">
        <v>4</v>
      </c>
      <c r="B6">
        <f>3*B2 + C2</f>
        <v>0</v>
      </c>
    </row>
    <row r="7" spans="1:3" x14ac:dyDescent="0.35">
      <c r="A7" s="1" t="s">
        <v>5</v>
      </c>
      <c r="B7">
        <f>-B2 + C2</f>
        <v>0</v>
      </c>
    </row>
    <row r="8" spans="1:3" x14ac:dyDescent="0.35">
      <c r="A8" s="1"/>
    </row>
    <row r="9" spans="1:3" x14ac:dyDescent="0.35">
      <c r="A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7E1C9-2913-44CC-A5C4-3817C796EFD6}">
  <dimension ref="A1:C7"/>
  <sheetViews>
    <sheetView tabSelected="1" workbookViewId="0">
      <selection activeCell="B8" sqref="B8"/>
    </sheetView>
  </sheetViews>
  <sheetFormatPr defaultRowHeight="14.5" x14ac:dyDescent="0.35"/>
  <sheetData>
    <row r="1" spans="1:3" x14ac:dyDescent="0.35">
      <c r="B1" t="s">
        <v>8</v>
      </c>
      <c r="C1" t="s">
        <v>9</v>
      </c>
    </row>
    <row r="2" spans="1:3" x14ac:dyDescent="0.35">
      <c r="B2">
        <v>0</v>
      </c>
      <c r="C2">
        <v>0</v>
      </c>
    </row>
    <row r="4" spans="1:3" x14ac:dyDescent="0.35">
      <c r="A4" t="s">
        <v>10</v>
      </c>
      <c r="B4">
        <f>B2 + 3*C2</f>
        <v>0</v>
      </c>
    </row>
    <row r="6" spans="1:3" x14ac:dyDescent="0.35">
      <c r="A6" s="1" t="s">
        <v>4</v>
      </c>
      <c r="B6">
        <f>3*B2 - C2</f>
        <v>0</v>
      </c>
    </row>
    <row r="7" spans="1:3" x14ac:dyDescent="0.35">
      <c r="A7" s="1" t="s">
        <v>5</v>
      </c>
      <c r="B7">
        <f>B2 + C2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E7DA-03D1-4411-8F30-1357962F3E3C}">
  <dimension ref="A1:E9"/>
  <sheetViews>
    <sheetView workbookViewId="0">
      <selection activeCell="B4" sqref="B4"/>
    </sheetView>
  </sheetViews>
  <sheetFormatPr defaultRowHeight="14.5" x14ac:dyDescent="0.35"/>
  <sheetData>
    <row r="1" spans="1:5" x14ac:dyDescent="0.35">
      <c r="B1" t="s">
        <v>8</v>
      </c>
      <c r="C1" t="s">
        <v>9</v>
      </c>
      <c r="D1" t="s">
        <v>11</v>
      </c>
      <c r="E1" t="s">
        <v>12</v>
      </c>
    </row>
    <row r="2" spans="1:5" x14ac:dyDescent="0.35">
      <c r="B2">
        <v>0</v>
      </c>
      <c r="C2">
        <v>0</v>
      </c>
      <c r="D2">
        <v>0</v>
      </c>
      <c r="E2">
        <v>0</v>
      </c>
    </row>
    <row r="4" spans="1:5" x14ac:dyDescent="0.35">
      <c r="A4" t="s">
        <v>10</v>
      </c>
      <c r="B4">
        <f>B2 - D2 + E2</f>
        <v>0</v>
      </c>
    </row>
    <row r="6" spans="1:5" x14ac:dyDescent="0.35">
      <c r="A6" s="1" t="s">
        <v>4</v>
      </c>
      <c r="B6">
        <f>B2 + C2 - D2 - 2*E2</f>
        <v>0</v>
      </c>
    </row>
    <row r="7" spans="1:5" x14ac:dyDescent="0.35">
      <c r="A7" s="1" t="s">
        <v>5</v>
      </c>
      <c r="B7">
        <f>B2 + C2 + D2 - E2</f>
        <v>0</v>
      </c>
    </row>
    <row r="8" spans="1:5" x14ac:dyDescent="0.35">
      <c r="A8" s="1" t="s">
        <v>6</v>
      </c>
      <c r="B8">
        <f>2*B2 - C2 + 3*D2 + 4*E2</f>
        <v>0</v>
      </c>
    </row>
    <row r="9" spans="1:5" x14ac:dyDescent="0.35">
      <c r="A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W = ПР1В</vt:lpstr>
      <vt:lpstr>W = ПР2</vt:lpstr>
      <vt:lpstr>Z = ПР2</vt:lpstr>
      <vt:lpstr>Z = ПР1В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2026-04-02T07:03:58Z</dcterms:modified>
</cp:coreProperties>
</file>