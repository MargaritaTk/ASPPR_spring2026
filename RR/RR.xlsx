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1A4CC3D9-D358-48B1-9A30-C840F36B01BD}" xr6:coauthVersionLast="47" xr6:coauthVersionMax="47" xr10:uidLastSave="{00000000-0000-0000-0000-000000000000}"/>
  <bookViews>
    <workbookView xWindow="-110" yWindow="-110" windowWidth="19420" windowHeight="10300" xr2:uid="{BDE9DEBF-87A1-475D-960C-70DB23CB8596}"/>
  </bookViews>
  <sheets>
    <sheet name="Варіант 17" sheetId="12" r:id="rId1"/>
    <sheet name="Тестовий варіант" sheetId="17" r:id="rId2"/>
  </sheets>
  <definedNames>
    <definedName name="solver_adj" localSheetId="0" hidden="1">'Варіант 17'!$A$53:$D$53</definedName>
    <definedName name="solver_adj" localSheetId="1" hidden="1">'Тестовий варіант'!$A$53:$D$53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'Варіант 17'!$E$53</definedName>
    <definedName name="solver_lhs1" localSheetId="1" hidden="1">'Тестовий варіант'!$E$53</definedName>
    <definedName name="solver_lhs2" localSheetId="0" hidden="1">'Варіант 17'!$E$54</definedName>
    <definedName name="solver_lhs2" localSheetId="1" hidden="1">'Тестовий варіант'!$E$54</definedName>
    <definedName name="solver_lhs3" localSheetId="0" hidden="1">'Варіант 17'!$E$55</definedName>
    <definedName name="solver_lhs3" localSheetId="1" hidden="1">'Тестовий варіант'!$E$55</definedName>
    <definedName name="solver_lhs4" localSheetId="0" hidden="1">'Варіант 17'!$E$56</definedName>
    <definedName name="solver_lhs4" localSheetId="1" hidden="1">'Тестовий варіант'!$E$56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'Варіант 17'!$D$53</definedName>
    <definedName name="solver_opt" localSheetId="1" hidden="1">'Тестовий варіант'!$D$53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0" hidden="1">2</definedName>
    <definedName name="solver_rel4" localSheetId="1" hidden="1">2</definedName>
    <definedName name="solver_rhs1" localSheetId="0" hidden="1">'Варіант 17'!$D$53</definedName>
    <definedName name="solver_rhs1" localSheetId="1" hidden="1">'Тестовий варіант'!$D$53</definedName>
    <definedName name="solver_rhs2" localSheetId="0" hidden="1">'Варіант 17'!$D$53</definedName>
    <definedName name="solver_rhs2" localSheetId="1" hidden="1">'Тестовий варіант'!$D$53</definedName>
    <definedName name="solver_rhs3" localSheetId="0" hidden="1">'Варіант 17'!$D$53</definedName>
    <definedName name="solver_rhs3" localSheetId="1" hidden="1">'Тестовий варіант'!$D$53</definedName>
    <definedName name="solver_rhs4" localSheetId="0" hidden="1">1</definedName>
    <definedName name="solver_rhs4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2" l="1"/>
  <c r="I39" i="12"/>
  <c r="H39" i="12"/>
  <c r="J38" i="12"/>
  <c r="I38" i="12"/>
  <c r="H38" i="12"/>
  <c r="J37" i="12"/>
  <c r="I37" i="12"/>
  <c r="H37" i="12"/>
  <c r="H37" i="17"/>
  <c r="D39" i="12"/>
  <c r="C39" i="12"/>
  <c r="B39" i="12"/>
  <c r="C38" i="12"/>
  <c r="D38" i="12"/>
  <c r="B38" i="12"/>
  <c r="D37" i="12"/>
  <c r="C37" i="12"/>
  <c r="B37" i="12"/>
  <c r="G19" i="12"/>
  <c r="G19" i="17"/>
  <c r="G18" i="12"/>
  <c r="G18" i="17"/>
  <c r="G17" i="12"/>
  <c r="G17" i="17"/>
  <c r="J39" i="17"/>
  <c r="I39" i="17"/>
  <c r="H39" i="17"/>
  <c r="J38" i="17"/>
  <c r="I38" i="17"/>
  <c r="H38" i="17"/>
  <c r="J37" i="17"/>
  <c r="I37" i="17"/>
  <c r="D39" i="17"/>
  <c r="C39" i="17"/>
  <c r="B39" i="17"/>
  <c r="D38" i="17"/>
  <c r="C38" i="17"/>
  <c r="B38" i="17"/>
  <c r="D37" i="17"/>
  <c r="C37" i="17"/>
  <c r="B37" i="17"/>
  <c r="D32" i="17"/>
  <c r="C32" i="17"/>
  <c r="B32" i="17"/>
  <c r="D31" i="17"/>
  <c r="C31" i="17"/>
  <c r="B31" i="17"/>
  <c r="K44" i="17"/>
  <c r="I44" i="17"/>
  <c r="H44" i="17"/>
  <c r="G44" i="17"/>
  <c r="K13" i="17"/>
  <c r="K12" i="17"/>
  <c r="K11" i="17"/>
  <c r="J13" i="17"/>
  <c r="J13" i="12"/>
  <c r="J12" i="17"/>
  <c r="J11" i="17"/>
  <c r="I13" i="17"/>
  <c r="I12" i="17"/>
  <c r="I11" i="17"/>
  <c r="K11" i="12"/>
  <c r="J11" i="12"/>
  <c r="I11" i="12"/>
  <c r="E56" i="17"/>
  <c r="E50" i="17"/>
  <c r="J44" i="17"/>
  <c r="D26" i="17"/>
  <c r="C26" i="17"/>
  <c r="B26" i="17"/>
  <c r="D25" i="17"/>
  <c r="C25" i="17"/>
  <c r="B25" i="17"/>
  <c r="D24" i="17"/>
  <c r="C24" i="17"/>
  <c r="B24" i="17"/>
  <c r="J44" i="12"/>
  <c r="I44" i="12"/>
  <c r="H44" i="12"/>
  <c r="G44" i="12"/>
  <c r="K44" i="12"/>
  <c r="E56" i="12"/>
  <c r="E50" i="12"/>
  <c r="K13" i="12"/>
  <c r="K12" i="12"/>
  <c r="J12" i="12"/>
  <c r="I13" i="12"/>
  <c r="I12" i="12"/>
  <c r="D26" i="12"/>
  <c r="C26" i="12"/>
  <c r="B26" i="12"/>
  <c r="D25" i="12"/>
  <c r="C25" i="12"/>
  <c r="B25" i="12"/>
  <c r="D24" i="12"/>
  <c r="D32" i="12" s="1"/>
  <c r="B24" i="12"/>
  <c r="C24" i="12"/>
  <c r="E49" i="12" l="1"/>
  <c r="E47" i="12"/>
  <c r="E54" i="12"/>
  <c r="E48" i="12"/>
  <c r="B31" i="12"/>
  <c r="B32" i="12"/>
  <c r="C31" i="12"/>
  <c r="C32" i="12"/>
  <c r="D31" i="12"/>
  <c r="E55" i="12" l="1"/>
  <c r="E53" i="12"/>
  <c r="E47" i="17" l="1"/>
  <c r="E48" i="17"/>
  <c r="E49" i="17"/>
  <c r="E55" i="17"/>
  <c r="E54" i="17"/>
  <c r="E53" i="17"/>
</calcChain>
</file>

<file path=xl/sharedStrings.xml><?xml version="1.0" encoding="utf-8"?>
<sst xmlns="http://schemas.openxmlformats.org/spreadsheetml/2006/main" count="172" uniqueCount="46">
  <si>
    <t>x1</t>
  </si>
  <si>
    <t>x2</t>
  </si>
  <si>
    <t>x3</t>
  </si>
  <si>
    <t>x4</t>
  </si>
  <si>
    <t>x5</t>
  </si>
  <si>
    <t>Розрахункова робота: багатокритеріальна оптимізація</t>
  </si>
  <si>
    <t>1. Цільові функції</t>
  </si>
  <si>
    <t>Критерій</t>
  </si>
  <si>
    <t>Напрям</t>
  </si>
  <si>
    <t>Z1</t>
  </si>
  <si>
    <t>min</t>
  </si>
  <si>
    <t>Z2</t>
  </si>
  <si>
    <t>Z3</t>
  </si>
  <si>
    <t>max</t>
  </si>
  <si>
    <t>2. Система обмежень</t>
  </si>
  <si>
    <t>№</t>
  </si>
  <si>
    <t>≤</t>
  </si>
  <si>
    <t>b</t>
  </si>
  <si>
    <t>X(Z1)</t>
  </si>
  <si>
    <t>X(Z2)</t>
  </si>
  <si>
    <t>X(Z3)</t>
  </si>
  <si>
    <t>Ідеальні (оптимальні) значення по кожному критерію</t>
  </si>
  <si>
    <t>Z1 (min)</t>
  </si>
  <si>
    <t>Z2 (min)</t>
  </si>
  <si>
    <t>Z3 (max)</t>
  </si>
  <si>
    <t>f*</t>
  </si>
  <si>
    <t>f (наdir)</t>
  </si>
  <si>
    <t>Розв'язок</t>
  </si>
  <si>
    <t>Результат: вагові коефіцієнти та компромісний розв'язок</t>
  </si>
  <si>
    <t>Xкомп</t>
  </si>
  <si>
    <t xml:space="preserve">Матриця мір неоптимальності </t>
  </si>
  <si>
    <t xml:space="preserve">Матрична гра </t>
  </si>
  <si>
    <t>p1</t>
  </si>
  <si>
    <t>p2</t>
  </si>
  <si>
    <t>p3</t>
  </si>
  <si>
    <t xml:space="preserve">Значення цільових функцій у знайдених оптимальних розв'язках </t>
  </si>
  <si>
    <t>ЦФ</t>
  </si>
  <si>
    <t>V</t>
  </si>
  <si>
    <t>=</t>
  </si>
  <si>
    <t>Z1 (max)</t>
  </si>
  <si>
    <t>q1</t>
  </si>
  <si>
    <t>q2</t>
  </si>
  <si>
    <t>q3</t>
  </si>
  <si>
    <t>Пряма задача</t>
  </si>
  <si>
    <t>Двоїста задача</t>
  </si>
  <si>
    <t xml:space="preserve">Оптимальні розв'язки задач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</si>
</sst>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1F2"/>
      </patternFill>
    </fill>
    <fill>
      <patternFill patternType="solid">
        <fgColor theme="9" tint="0.39997558519241921"/>
        <bgColor rgb="FFBDD7E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66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1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077F-F143-4AB2-9EEE-41479E8436BC}">
  <dimension ref="A1:K56"/>
  <sheetViews>
    <sheetView tabSelected="1" topLeftCell="A35" zoomScale="79" zoomScaleNormal="55" workbookViewId="0">
      <selection activeCell="L32" sqref="L32"/>
    </sheetView>
  </sheetViews>
  <sheetFormatPr defaultRowHeight="14.5" x14ac:dyDescent="0.35"/>
  <cols>
    <col min="1" max="2" width="10.90625" bestFit="1" customWidth="1"/>
    <col min="3" max="3" width="9.7265625" bestFit="1" customWidth="1"/>
    <col min="4" max="4" width="11.90625" customWidth="1"/>
    <col min="5" max="5" width="9.7265625" bestFit="1" customWidth="1"/>
    <col min="7" max="11" width="10.90625" bestFit="1" customWidth="1"/>
  </cols>
  <sheetData>
    <row r="1" spans="1:11" ht="16.5" x14ac:dyDescent="0.35">
      <c r="A1" s="14" t="s">
        <v>5</v>
      </c>
      <c r="B1" s="14"/>
      <c r="C1" s="14"/>
      <c r="D1" s="14"/>
      <c r="E1" s="14"/>
      <c r="F1" s="14"/>
      <c r="G1" s="14"/>
      <c r="H1" s="14"/>
    </row>
    <row r="3" spans="1:11" x14ac:dyDescent="0.35">
      <c r="A3" s="13" t="s">
        <v>6</v>
      </c>
      <c r="B3" s="13"/>
      <c r="C3" s="13"/>
      <c r="D3" s="13"/>
      <c r="E3" s="13"/>
      <c r="F3" s="13"/>
      <c r="G3" s="13"/>
      <c r="H3" s="13"/>
    </row>
    <row r="4" spans="1:11" x14ac:dyDescent="0.35">
      <c r="A4" s="2" t="s">
        <v>7</v>
      </c>
      <c r="B4" s="2" t="s">
        <v>8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9"/>
    </row>
    <row r="5" spans="1:11" x14ac:dyDescent="0.35">
      <c r="A5" s="3" t="s">
        <v>9</v>
      </c>
      <c r="B5" s="3" t="s">
        <v>10</v>
      </c>
      <c r="C5" s="3">
        <v>0</v>
      </c>
      <c r="D5" s="3">
        <v>0</v>
      </c>
      <c r="E5" s="3">
        <v>0</v>
      </c>
      <c r="F5" s="3">
        <v>-4</v>
      </c>
      <c r="G5" s="3">
        <v>-1</v>
      </c>
      <c r="H5" s="4"/>
    </row>
    <row r="6" spans="1:11" x14ac:dyDescent="0.35">
      <c r="A6" s="3" t="s">
        <v>11</v>
      </c>
      <c r="B6" s="3" t="s">
        <v>10</v>
      </c>
      <c r="C6" s="3">
        <v>-1</v>
      </c>
      <c r="D6" s="3">
        <v>-3</v>
      </c>
      <c r="E6" s="3">
        <v>5</v>
      </c>
      <c r="F6" s="3">
        <v>1</v>
      </c>
      <c r="G6" s="3">
        <v>0</v>
      </c>
      <c r="H6" s="4"/>
    </row>
    <row r="7" spans="1:11" x14ac:dyDescent="0.35">
      <c r="A7" s="3" t="s">
        <v>12</v>
      </c>
      <c r="B7" s="3" t="s">
        <v>13</v>
      </c>
      <c r="C7" s="3">
        <v>3</v>
      </c>
      <c r="D7" s="3">
        <v>1</v>
      </c>
      <c r="E7" s="3">
        <v>1</v>
      </c>
      <c r="F7" s="3">
        <v>1</v>
      </c>
      <c r="G7" s="3">
        <v>1</v>
      </c>
      <c r="H7" s="4"/>
    </row>
    <row r="8" spans="1:11" x14ac:dyDescent="0.35">
      <c r="A8" s="4"/>
      <c r="B8" s="4"/>
      <c r="C8" s="4"/>
      <c r="D8" s="4"/>
      <c r="E8" s="4"/>
      <c r="F8" s="4"/>
      <c r="G8" s="4"/>
      <c r="H8" s="4"/>
    </row>
    <row r="9" spans="1:11" x14ac:dyDescent="0.35">
      <c r="A9" s="15" t="s">
        <v>14</v>
      </c>
      <c r="B9" s="15"/>
      <c r="C9" s="15"/>
      <c r="D9" s="15"/>
      <c r="E9" s="15"/>
      <c r="F9" s="15"/>
      <c r="G9" s="15"/>
      <c r="H9" s="15"/>
    </row>
    <row r="10" spans="1:11" x14ac:dyDescent="0.35">
      <c r="A10" s="5" t="s">
        <v>15</v>
      </c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16</v>
      </c>
      <c r="H10" s="5" t="s">
        <v>17</v>
      </c>
    </row>
    <row r="11" spans="1:11" x14ac:dyDescent="0.35">
      <c r="A11" s="3">
        <v>1</v>
      </c>
      <c r="B11" s="3">
        <v>0</v>
      </c>
      <c r="C11" s="3">
        <v>1</v>
      </c>
      <c r="D11" s="3">
        <v>1</v>
      </c>
      <c r="E11" s="3">
        <v>2</v>
      </c>
      <c r="F11" s="3">
        <v>1</v>
      </c>
      <c r="G11" s="3" t="s">
        <v>16</v>
      </c>
      <c r="H11" s="3">
        <v>6</v>
      </c>
      <c r="I11">
        <f xml:space="preserve"> SUMPRODUCT($B$11:$F$11, B17:F17)</f>
        <v>5</v>
      </c>
      <c r="J11">
        <f xml:space="preserve"> SUMPRODUCT($B$11:$F$11, B18:F18)</f>
        <v>5</v>
      </c>
      <c r="K11">
        <f xml:space="preserve"> SUMPRODUCT($B$11:$F$11,B19:F19)</f>
        <v>4</v>
      </c>
    </row>
    <row r="12" spans="1:11" x14ac:dyDescent="0.35">
      <c r="A12" s="3">
        <v>2</v>
      </c>
      <c r="B12" s="3">
        <v>1</v>
      </c>
      <c r="C12" s="3">
        <v>1</v>
      </c>
      <c r="D12" s="3">
        <v>1</v>
      </c>
      <c r="E12" s="3">
        <v>3</v>
      </c>
      <c r="F12" s="3">
        <v>2</v>
      </c>
      <c r="G12" s="3" t="s">
        <v>16</v>
      </c>
      <c r="H12" s="3">
        <v>9</v>
      </c>
      <c r="I12">
        <f xml:space="preserve"> SUMPRODUCT($B$12:$F$12,B17:F17)</f>
        <v>7.5</v>
      </c>
      <c r="J12">
        <f xml:space="preserve"> SUMPRODUCT($B$12:$F$12, B18:F18)</f>
        <v>5</v>
      </c>
      <c r="K12">
        <f xml:space="preserve"> SUMPRODUCT($B$12:$F$12,B19:F19)</f>
        <v>9</v>
      </c>
    </row>
    <row r="13" spans="1:11" x14ac:dyDescent="0.35">
      <c r="A13" s="3">
        <v>3</v>
      </c>
      <c r="B13" s="3">
        <v>1</v>
      </c>
      <c r="C13" s="3">
        <v>1</v>
      </c>
      <c r="D13" s="3">
        <v>0</v>
      </c>
      <c r="E13" s="3">
        <v>2</v>
      </c>
      <c r="F13" s="3">
        <v>1</v>
      </c>
      <c r="G13" s="3" t="s">
        <v>16</v>
      </c>
      <c r="H13" s="3">
        <v>5</v>
      </c>
      <c r="I13">
        <f xml:space="preserve"> SUMPRODUCT($B$13:$F$13,B17:F17)</f>
        <v>5</v>
      </c>
      <c r="J13">
        <f xml:space="preserve"> SUMPRODUCT($B$13:$F$13, B18:F18)</f>
        <v>5</v>
      </c>
      <c r="K13">
        <f xml:space="preserve"> SUMPRODUCT($B$13:$F$13, B19:F19)</f>
        <v>5</v>
      </c>
    </row>
    <row r="15" spans="1:11" x14ac:dyDescent="0.35">
      <c r="A15" s="13" t="s">
        <v>45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35">
      <c r="A16" s="2" t="s">
        <v>7</v>
      </c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36</v>
      </c>
    </row>
    <row r="17" spans="1:11" x14ac:dyDescent="0.35">
      <c r="A17" s="1" t="s">
        <v>22</v>
      </c>
      <c r="B17" s="3">
        <v>0</v>
      </c>
      <c r="C17" s="3">
        <v>0</v>
      </c>
      <c r="D17" s="3">
        <v>0</v>
      </c>
      <c r="E17" s="3">
        <v>2.5</v>
      </c>
      <c r="F17" s="3">
        <v>0</v>
      </c>
      <c r="G17" s="10">
        <f xml:space="preserve"> SUMPRODUCT($C$5:$G$5,B17:F17)</f>
        <v>-10</v>
      </c>
    </row>
    <row r="18" spans="1:11" x14ac:dyDescent="0.35">
      <c r="A18" s="1" t="s">
        <v>23</v>
      </c>
      <c r="B18" s="3">
        <v>0</v>
      </c>
      <c r="C18" s="3">
        <v>5</v>
      </c>
      <c r="D18" s="3">
        <v>0</v>
      </c>
      <c r="E18" s="3">
        <v>0</v>
      </c>
      <c r="F18" s="3">
        <v>0</v>
      </c>
      <c r="G18" s="10">
        <f xml:space="preserve"> SUMPRODUCT($C$6:$G$6,B18:F18)</f>
        <v>-15</v>
      </c>
    </row>
    <row r="19" spans="1:11" x14ac:dyDescent="0.35">
      <c r="A19" s="1" t="s">
        <v>24</v>
      </c>
      <c r="B19" s="3">
        <v>5</v>
      </c>
      <c r="C19" s="3">
        <v>0</v>
      </c>
      <c r="D19" s="3">
        <v>4</v>
      </c>
      <c r="E19" s="3">
        <v>0</v>
      </c>
      <c r="F19" s="3">
        <v>0</v>
      </c>
      <c r="G19" s="10">
        <f xml:space="preserve"> SUMPRODUCT($C$7:$G$7,B19:F19)</f>
        <v>19</v>
      </c>
    </row>
    <row r="22" spans="1:11" x14ac:dyDescent="0.35">
      <c r="A22" s="1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35">
      <c r="A23" s="2" t="s">
        <v>27</v>
      </c>
      <c r="B23" s="2" t="s">
        <v>9</v>
      </c>
      <c r="C23" s="2" t="s">
        <v>11</v>
      </c>
      <c r="D23" s="2" t="s">
        <v>12</v>
      </c>
    </row>
    <row r="24" spans="1:11" x14ac:dyDescent="0.35">
      <c r="A24" s="1" t="s">
        <v>18</v>
      </c>
      <c r="B24" s="1">
        <f>SUMPRODUCT($C$5:$G$5,B17:F17)</f>
        <v>-10</v>
      </c>
      <c r="C24" s="1">
        <f>SUMPRODUCT($C$6:$G$6, B17:F17)</f>
        <v>2.5</v>
      </c>
      <c r="D24" s="1">
        <f>SUMPRODUCT($C$7:$G$7,B17:F17)</f>
        <v>2.5</v>
      </c>
    </row>
    <row r="25" spans="1:11" x14ac:dyDescent="0.35">
      <c r="A25" s="1" t="s">
        <v>19</v>
      </c>
      <c r="B25" s="1">
        <f>SUMPRODUCT($C$5:$G$5,B18:F18)</f>
        <v>0</v>
      </c>
      <c r="C25" s="1">
        <f xml:space="preserve"> SUMPRODUCT($C$6:$G$6,B18:F18)</f>
        <v>-15</v>
      </c>
      <c r="D25" s="1">
        <f xml:space="preserve"> SUMPRODUCT($C$7:$G$7,B18:F18)</f>
        <v>5</v>
      </c>
    </row>
    <row r="26" spans="1:11" x14ac:dyDescent="0.35">
      <c r="A26" s="1" t="s">
        <v>20</v>
      </c>
      <c r="B26" s="1">
        <f xml:space="preserve"> SUMPRODUCT($C$5:$G$5,B19:F19)</f>
        <v>0</v>
      </c>
      <c r="C26" s="1">
        <f xml:space="preserve"> SUMPRODUCT($C$6:$G$6,B19:F19)</f>
        <v>15</v>
      </c>
      <c r="D26" s="1">
        <f xml:space="preserve"> SUMPRODUCT($C$7:$G$7,B19:F19)</f>
        <v>19</v>
      </c>
    </row>
    <row r="29" spans="1:11" x14ac:dyDescent="0.35">
      <c r="A29" s="12" t="s">
        <v>21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5">
      <c r="A30" s="8"/>
      <c r="B30" s="8" t="s">
        <v>22</v>
      </c>
      <c r="C30" s="8" t="s">
        <v>23</v>
      </c>
      <c r="D30" s="8" t="s">
        <v>24</v>
      </c>
    </row>
    <row r="31" spans="1:11" x14ac:dyDescent="0.35">
      <c r="A31" s="6" t="s">
        <v>25</v>
      </c>
      <c r="B31" s="1">
        <f>MIN(B24:B26)</f>
        <v>-10</v>
      </c>
      <c r="C31" s="1">
        <f>MIN(C24:C26)</f>
        <v>-15</v>
      </c>
      <c r="D31" s="1">
        <f>MAX(D24:D26)</f>
        <v>19</v>
      </c>
    </row>
    <row r="32" spans="1:11" x14ac:dyDescent="0.35">
      <c r="A32" s="7" t="s">
        <v>26</v>
      </c>
      <c r="B32" s="1">
        <f>MAX(B24:B26)</f>
        <v>0</v>
      </c>
      <c r="C32" s="1">
        <f>MAX(C24:C26)</f>
        <v>15</v>
      </c>
      <c r="D32" s="1">
        <f xml:space="preserve"> MIN(D24:D26)</f>
        <v>2.5</v>
      </c>
    </row>
    <row r="33" spans="1:1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5" spans="1:11" x14ac:dyDescent="0.35">
      <c r="A35" s="13" t="s">
        <v>30</v>
      </c>
      <c r="B35" s="13"/>
      <c r="C35" s="13"/>
      <c r="D35" s="13"/>
      <c r="E35" s="13"/>
      <c r="G35" s="13" t="s">
        <v>31</v>
      </c>
      <c r="H35" s="13"/>
      <c r="I35" s="13"/>
      <c r="J35" s="13"/>
      <c r="K35" s="13"/>
    </row>
    <row r="36" spans="1:11" x14ac:dyDescent="0.35">
      <c r="A36" s="2" t="s">
        <v>27</v>
      </c>
      <c r="B36" s="2" t="s">
        <v>9</v>
      </c>
      <c r="C36" s="2" t="s">
        <v>11</v>
      </c>
      <c r="D36" s="2" t="s">
        <v>12</v>
      </c>
      <c r="G36" s="2" t="s">
        <v>27</v>
      </c>
      <c r="H36" s="2" t="s">
        <v>9</v>
      </c>
      <c r="I36" s="2" t="s">
        <v>11</v>
      </c>
      <c r="J36" s="2" t="s">
        <v>12</v>
      </c>
    </row>
    <row r="37" spans="1:11" ht="14" customHeight="1" x14ac:dyDescent="0.35">
      <c r="A37" s="1" t="s">
        <v>18</v>
      </c>
      <c r="B37" s="1">
        <f xml:space="preserve"> B24 - B$31</f>
        <v>0</v>
      </c>
      <c r="C37" s="1">
        <f xml:space="preserve"> C24 - C$31</f>
        <v>17.5</v>
      </c>
      <c r="D37" s="1">
        <f xml:space="preserve"> D$31 - D24</f>
        <v>16.5</v>
      </c>
      <c r="G37" s="1" t="s">
        <v>18</v>
      </c>
      <c r="H37" s="11">
        <f xml:space="preserve"> MAX($B$37:$D$39) - B37</f>
        <v>30</v>
      </c>
      <c r="I37" s="1">
        <f xml:space="preserve"> MAX($B$37:$D$39) - C37</f>
        <v>12.5</v>
      </c>
      <c r="J37" s="1">
        <f xml:space="preserve"> MAX($B$37:$D$39) - D37</f>
        <v>13.5</v>
      </c>
    </row>
    <row r="38" spans="1:11" x14ac:dyDescent="0.35">
      <c r="A38" s="1" t="s">
        <v>19</v>
      </c>
      <c r="B38" s="1">
        <f xml:space="preserve"> B25 - B$31</f>
        <v>10</v>
      </c>
      <c r="C38" s="1">
        <f xml:space="preserve"> C25 - C$31</f>
        <v>0</v>
      </c>
      <c r="D38" s="1">
        <f xml:space="preserve"> D$31 - D25</f>
        <v>14</v>
      </c>
      <c r="G38" s="1" t="s">
        <v>19</v>
      </c>
      <c r="H38" s="1">
        <f xml:space="preserve"> MAX($B$37:$D$39) - B38</f>
        <v>20</v>
      </c>
      <c r="I38" s="1">
        <f xml:space="preserve"> MAX($B$37:$D$39) - C38</f>
        <v>30</v>
      </c>
      <c r="J38" s="1">
        <f xml:space="preserve"> MAX($B$37:$D$39) - D38</f>
        <v>16</v>
      </c>
    </row>
    <row r="39" spans="1:11" x14ac:dyDescent="0.35">
      <c r="A39" s="1" t="s">
        <v>20</v>
      </c>
      <c r="B39" s="1">
        <f xml:space="preserve"> B26 - B$31</f>
        <v>10</v>
      </c>
      <c r="C39" s="1">
        <f xml:space="preserve"> C26 - C$31</f>
        <v>30</v>
      </c>
      <c r="D39" s="1">
        <f xml:space="preserve"> D$31 - D26</f>
        <v>0</v>
      </c>
      <c r="G39" s="1" t="s">
        <v>20</v>
      </c>
      <c r="H39" s="1">
        <f xml:space="preserve"> MAX($B$37:$D$39) - B39</f>
        <v>20</v>
      </c>
      <c r="I39" s="1">
        <f xml:space="preserve"> MAX($B$37:$D$39) - C39</f>
        <v>0</v>
      </c>
      <c r="J39" s="1">
        <f xml:space="preserve"> MAX($B$37:$D$39) - D39</f>
        <v>30</v>
      </c>
    </row>
    <row r="42" spans="1:11" x14ac:dyDescent="0.35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x14ac:dyDescent="0.35">
      <c r="A43" s="17"/>
      <c r="B43" s="17"/>
      <c r="C43" s="17"/>
      <c r="D43" s="17"/>
      <c r="E43" s="18"/>
      <c r="F43" s="2" t="s">
        <v>29</v>
      </c>
      <c r="G43" s="2" t="s">
        <v>0</v>
      </c>
      <c r="H43" s="2" t="s">
        <v>1</v>
      </c>
      <c r="I43" s="2" t="s">
        <v>2</v>
      </c>
      <c r="J43" s="2" t="s">
        <v>3</v>
      </c>
      <c r="K43" s="2" t="s">
        <v>4</v>
      </c>
    </row>
    <row r="44" spans="1:11" x14ac:dyDescent="0.35">
      <c r="A44" s="19"/>
      <c r="B44" s="19"/>
      <c r="C44" s="18"/>
      <c r="D44" s="19"/>
      <c r="E44" s="18"/>
      <c r="F44" s="6" t="s">
        <v>29</v>
      </c>
      <c r="G44" s="1">
        <f xml:space="preserve"> A47*B17 + B47*B18 + C47*B19</f>
        <v>1.5460526315789473</v>
      </c>
      <c r="H44" s="1">
        <f xml:space="preserve"> A47*C17 + B47*C18 + C47*C19</f>
        <v>3.322368421052631</v>
      </c>
      <c r="I44" s="1">
        <f xml:space="preserve"> A47*D17 + B47*D18 + C47*D19</f>
        <v>1.236842105263158</v>
      </c>
      <c r="J44" s="1">
        <f xml:space="preserve"> A47*E17 + B47*E18 + C47*E19</f>
        <v>6.5789473684210634E-2</v>
      </c>
      <c r="K44" s="1">
        <f xml:space="preserve"> A47*F17 + B47*F18 + C47*F19</f>
        <v>0</v>
      </c>
    </row>
    <row r="45" spans="1:11" x14ac:dyDescent="0.35">
      <c r="A45" s="21" t="s">
        <v>43</v>
      </c>
      <c r="B45" s="21"/>
      <c r="C45" s="21"/>
      <c r="D45" s="21"/>
    </row>
    <row r="46" spans="1:11" x14ac:dyDescent="0.35">
      <c r="A46" s="2" t="s">
        <v>32</v>
      </c>
      <c r="B46" s="2" t="s">
        <v>33</v>
      </c>
      <c r="C46" s="2" t="s">
        <v>34</v>
      </c>
      <c r="D46" s="8" t="s">
        <v>37</v>
      </c>
    </row>
    <row r="47" spans="1:11" x14ac:dyDescent="0.35">
      <c r="A47">
        <v>2.6315789473684254E-2</v>
      </c>
      <c r="B47">
        <v>0.66447368421052622</v>
      </c>
      <c r="C47">
        <v>0.30921052631578949</v>
      </c>
      <c r="D47">
        <v>20.263157894736842</v>
      </c>
      <c r="E47">
        <f xml:space="preserve"> A47*H37 + B47*H38 + C47*H39</f>
        <v>20.263157894736842</v>
      </c>
    </row>
    <row r="48" spans="1:11" x14ac:dyDescent="0.35">
      <c r="E48">
        <f xml:space="preserve"> A47*I37 + B47*I38 + C47*I39</f>
        <v>20.263157894736842</v>
      </c>
    </row>
    <row r="49" spans="1:5" x14ac:dyDescent="0.35">
      <c r="E49">
        <f xml:space="preserve"> A47*J37 + B47*J38 + C47*J39</f>
        <v>20.263157894736842</v>
      </c>
    </row>
    <row r="50" spans="1:5" x14ac:dyDescent="0.35">
      <c r="E50">
        <f xml:space="preserve"> A47+B47+C47</f>
        <v>1</v>
      </c>
    </row>
    <row r="51" spans="1:5" x14ac:dyDescent="0.35">
      <c r="A51" s="21" t="s">
        <v>44</v>
      </c>
      <c r="B51" s="21"/>
      <c r="C51" s="21"/>
      <c r="D51" s="21"/>
    </row>
    <row r="52" spans="1:5" x14ac:dyDescent="0.35">
      <c r="A52" s="20" t="s">
        <v>40</v>
      </c>
      <c r="B52" s="20" t="s">
        <v>41</v>
      </c>
      <c r="C52" s="20" t="s">
        <v>42</v>
      </c>
      <c r="D52" s="20" t="s">
        <v>37</v>
      </c>
    </row>
    <row r="53" spans="1:5" x14ac:dyDescent="0.35">
      <c r="A53">
        <v>0.42105263157894729</v>
      </c>
      <c r="B53">
        <v>0.39473684210526322</v>
      </c>
      <c r="C53">
        <v>0.18421052631578949</v>
      </c>
      <c r="D53">
        <v>20.263157894736842</v>
      </c>
      <c r="E53">
        <f xml:space="preserve"> A53*H37 + B53*J37 + C53*I37</f>
        <v>20.263157894736842</v>
      </c>
    </row>
    <row r="54" spans="1:5" x14ac:dyDescent="0.35">
      <c r="E54">
        <f xml:space="preserve"> A53*H38 + B53*J38 + C53*I38</f>
        <v>20.263157894736842</v>
      </c>
    </row>
    <row r="55" spans="1:5" x14ac:dyDescent="0.35">
      <c r="E55">
        <f xml:space="preserve"> A53*H39 + B53*J39 + C53*I39</f>
        <v>20.263157894736842</v>
      </c>
    </row>
    <row r="56" spans="1:5" x14ac:dyDescent="0.35">
      <c r="E56">
        <f xml:space="preserve"> A53+B53+C53</f>
        <v>1</v>
      </c>
    </row>
  </sheetData>
  <mergeCells count="9">
    <mergeCell ref="A29:K29"/>
    <mergeCell ref="A35:E35"/>
    <mergeCell ref="G35:K35"/>
    <mergeCell ref="A42:K42"/>
    <mergeCell ref="A1:H1"/>
    <mergeCell ref="A3:H3"/>
    <mergeCell ref="A9:H9"/>
    <mergeCell ref="A15:K15"/>
    <mergeCell ref="A22:K2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4670-503C-4B4E-AB0C-9FF8C1137814}">
  <dimension ref="A1:K56"/>
  <sheetViews>
    <sheetView topLeftCell="A6" zoomScale="51" zoomScaleNormal="55" workbookViewId="0">
      <selection activeCell="A16" sqref="A16"/>
    </sheetView>
  </sheetViews>
  <sheetFormatPr defaultRowHeight="14.5" x14ac:dyDescent="0.35"/>
  <cols>
    <col min="1" max="2" width="10.90625" bestFit="1" customWidth="1"/>
    <col min="3" max="3" width="9.7265625" bestFit="1" customWidth="1"/>
    <col min="4" max="4" width="11.90625" customWidth="1"/>
    <col min="5" max="5" width="9.7265625" bestFit="1" customWidth="1"/>
    <col min="7" max="11" width="10.90625" bestFit="1" customWidth="1"/>
  </cols>
  <sheetData>
    <row r="1" spans="1:11" ht="16.5" x14ac:dyDescent="0.35">
      <c r="A1" s="14" t="s">
        <v>5</v>
      </c>
      <c r="B1" s="14"/>
      <c r="C1" s="14"/>
      <c r="D1" s="14"/>
      <c r="E1" s="14"/>
      <c r="F1" s="14"/>
      <c r="G1" s="14"/>
      <c r="H1" s="14"/>
    </row>
    <row r="3" spans="1:11" x14ac:dyDescent="0.35">
      <c r="A3" s="13" t="s">
        <v>6</v>
      </c>
      <c r="B3" s="13"/>
      <c r="C3" s="13"/>
      <c r="D3" s="13"/>
      <c r="E3" s="13"/>
      <c r="F3" s="13"/>
      <c r="G3" s="13"/>
      <c r="H3" s="13"/>
    </row>
    <row r="4" spans="1:11" x14ac:dyDescent="0.35">
      <c r="A4" s="2" t="s">
        <v>7</v>
      </c>
      <c r="B4" s="2" t="s">
        <v>8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9"/>
    </row>
    <row r="5" spans="1:11" x14ac:dyDescent="0.35">
      <c r="A5" s="3" t="s">
        <v>9</v>
      </c>
      <c r="B5" s="3" t="s">
        <v>13</v>
      </c>
      <c r="C5" s="3">
        <v>2</v>
      </c>
      <c r="D5" s="3">
        <v>2</v>
      </c>
      <c r="E5" s="3">
        <v>1</v>
      </c>
      <c r="F5" s="3">
        <v>1</v>
      </c>
      <c r="G5" s="3">
        <v>1</v>
      </c>
      <c r="H5" s="4"/>
    </row>
    <row r="6" spans="1:11" x14ac:dyDescent="0.35">
      <c r="A6" s="3" t="s">
        <v>11</v>
      </c>
      <c r="B6" s="3" t="s">
        <v>10</v>
      </c>
      <c r="C6" s="3">
        <v>1</v>
      </c>
      <c r="D6" s="3">
        <v>-3</v>
      </c>
      <c r="E6" s="3">
        <v>5</v>
      </c>
      <c r="F6" s="3">
        <v>-1</v>
      </c>
      <c r="G6" s="3">
        <v>-2</v>
      </c>
      <c r="H6" s="4"/>
    </row>
    <row r="7" spans="1:11" x14ac:dyDescent="0.35">
      <c r="A7" s="3" t="s">
        <v>12</v>
      </c>
      <c r="B7" s="3" t="s">
        <v>13</v>
      </c>
      <c r="C7" s="3">
        <v>1</v>
      </c>
      <c r="D7" s="3">
        <v>-4</v>
      </c>
      <c r="E7" s="3">
        <v>5</v>
      </c>
      <c r="F7" s="3">
        <v>9</v>
      </c>
      <c r="G7" s="3">
        <v>-2</v>
      </c>
      <c r="H7" s="4"/>
    </row>
    <row r="8" spans="1:11" x14ac:dyDescent="0.35">
      <c r="A8" s="4"/>
      <c r="B8" s="4"/>
      <c r="C8" s="4"/>
      <c r="D8" s="4"/>
      <c r="E8" s="4"/>
      <c r="F8" s="4"/>
      <c r="G8" s="4"/>
      <c r="H8" s="4"/>
    </row>
    <row r="9" spans="1:11" x14ac:dyDescent="0.35">
      <c r="A9" s="15" t="s">
        <v>14</v>
      </c>
      <c r="B9" s="15"/>
      <c r="C9" s="15"/>
      <c r="D9" s="15"/>
      <c r="E9" s="15"/>
      <c r="F9" s="15"/>
      <c r="G9" s="15"/>
      <c r="H9" s="15"/>
    </row>
    <row r="10" spans="1:11" x14ac:dyDescent="0.35">
      <c r="A10" s="5" t="s">
        <v>15</v>
      </c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38</v>
      </c>
      <c r="H10" s="5" t="s">
        <v>17</v>
      </c>
    </row>
    <row r="11" spans="1:11" x14ac:dyDescent="0.35">
      <c r="A11" s="3">
        <v>1</v>
      </c>
      <c r="B11" s="3">
        <v>-1</v>
      </c>
      <c r="C11" s="3">
        <v>2</v>
      </c>
      <c r="D11" s="3">
        <v>-1</v>
      </c>
      <c r="E11" s="3">
        <v>2</v>
      </c>
      <c r="F11" s="3">
        <v>1</v>
      </c>
      <c r="G11" s="3" t="s">
        <v>38</v>
      </c>
      <c r="H11" s="3">
        <v>6</v>
      </c>
      <c r="I11">
        <f xml:space="preserve"> SUMPRODUCT($B$11:$F$11, B17:F17)</f>
        <v>6</v>
      </c>
      <c r="J11">
        <f xml:space="preserve"> SUMPRODUCT($B$11:$F$11, B18:F18)</f>
        <v>6</v>
      </c>
      <c r="K11">
        <f xml:space="preserve"> SUMPRODUCT($B$11:$F$11,B19:F19)</f>
        <v>6</v>
      </c>
    </row>
    <row r="12" spans="1:11" x14ac:dyDescent="0.35">
      <c r="A12" s="3">
        <v>2</v>
      </c>
      <c r="B12" s="3">
        <v>1</v>
      </c>
      <c r="C12" s="3">
        <v>4</v>
      </c>
      <c r="D12" s="3">
        <v>3</v>
      </c>
      <c r="E12" s="3">
        <v>2</v>
      </c>
      <c r="F12" s="3">
        <v>1</v>
      </c>
      <c r="G12" s="3" t="s">
        <v>38</v>
      </c>
      <c r="H12" s="3">
        <v>9</v>
      </c>
      <c r="I12">
        <f xml:space="preserve"> SUMPRODUCT($B$12:$F$12,B17:F17)</f>
        <v>9</v>
      </c>
      <c r="J12">
        <f xml:space="preserve"> SUMPRODUCT($B$12:$F$12, B18:F18)</f>
        <v>9</v>
      </c>
      <c r="K12">
        <f xml:space="preserve"> SUMPRODUCT($B$12:$F$12,B19:F19)</f>
        <v>9</v>
      </c>
    </row>
    <row r="13" spans="1:11" x14ac:dyDescent="0.35">
      <c r="A13" s="3">
        <v>3</v>
      </c>
      <c r="B13" s="3">
        <v>1</v>
      </c>
      <c r="C13" s="3">
        <v>2</v>
      </c>
      <c r="D13" s="3">
        <v>0</v>
      </c>
      <c r="E13" s="3">
        <v>2</v>
      </c>
      <c r="F13" s="3">
        <v>-1</v>
      </c>
      <c r="G13" s="3" t="s">
        <v>38</v>
      </c>
      <c r="H13" s="3">
        <v>2</v>
      </c>
      <c r="I13">
        <f xml:space="preserve"> SUMPRODUCT($B$13:$F$13,B17:F17)</f>
        <v>2</v>
      </c>
      <c r="J13">
        <f xml:space="preserve"> SUMPRODUCT($B$13:$F$13, B18:F18)</f>
        <v>2</v>
      </c>
      <c r="K13">
        <f xml:space="preserve"> SUMPRODUCT($B$13:$F$13, B19:F19)</f>
        <v>2</v>
      </c>
    </row>
    <row r="15" spans="1:11" x14ac:dyDescent="0.35">
      <c r="A15" s="13" t="s">
        <v>45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35">
      <c r="A16" s="2" t="s">
        <v>7</v>
      </c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36</v>
      </c>
    </row>
    <row r="17" spans="1:11" x14ac:dyDescent="0.35">
      <c r="A17" s="1" t="s">
        <v>39</v>
      </c>
      <c r="B17" s="3">
        <v>1.4999999999999998</v>
      </c>
      <c r="C17" s="3">
        <v>0</v>
      </c>
      <c r="D17" s="3">
        <v>0</v>
      </c>
      <c r="E17" s="3">
        <v>2</v>
      </c>
      <c r="F17" s="3">
        <v>3.5</v>
      </c>
      <c r="G17" s="10">
        <f xml:space="preserve"> SUMPRODUCT($C$5:$G$5,B17:F17)</f>
        <v>8.5</v>
      </c>
    </row>
    <row r="18" spans="1:11" x14ac:dyDescent="0.35">
      <c r="A18" s="1" t="s">
        <v>23</v>
      </c>
      <c r="B18" s="3">
        <v>0</v>
      </c>
      <c r="C18" s="3">
        <v>1.4999999999999998</v>
      </c>
      <c r="D18" s="3">
        <v>0</v>
      </c>
      <c r="E18" s="3">
        <v>0.50000000000000022</v>
      </c>
      <c r="F18" s="3">
        <v>2</v>
      </c>
      <c r="G18" s="10">
        <f xml:space="preserve"> SUMPRODUCT($C$6:$G$6,B18:F18)</f>
        <v>-9</v>
      </c>
    </row>
    <row r="19" spans="1:11" x14ac:dyDescent="0.35">
      <c r="A19" s="1" t="s">
        <v>24</v>
      </c>
      <c r="B19" s="3">
        <v>0</v>
      </c>
      <c r="C19" s="3">
        <v>0</v>
      </c>
      <c r="D19" s="3">
        <v>0.74999999999999989</v>
      </c>
      <c r="E19" s="3">
        <v>2.1875</v>
      </c>
      <c r="F19" s="3">
        <v>2.375</v>
      </c>
      <c r="G19" s="10">
        <f xml:space="preserve"> SUMPRODUCT($C$7:$G$7,B19:F19)</f>
        <v>18.6875</v>
      </c>
    </row>
    <row r="22" spans="1:11" x14ac:dyDescent="0.35">
      <c r="A22" s="13" t="s">
        <v>35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35">
      <c r="A23" s="2" t="s">
        <v>27</v>
      </c>
      <c r="B23" s="2" t="s">
        <v>9</v>
      </c>
      <c r="C23" s="2" t="s">
        <v>11</v>
      </c>
      <c r="D23" s="2" t="s">
        <v>12</v>
      </c>
    </row>
    <row r="24" spans="1:11" x14ac:dyDescent="0.35">
      <c r="A24" s="1" t="s">
        <v>18</v>
      </c>
      <c r="B24" s="1">
        <f>SUMPRODUCT($C$5:$G$5,B17:F17)</f>
        <v>8.5</v>
      </c>
      <c r="C24" s="1">
        <f>SUMPRODUCT($C$6:$G$6, B17:F17)</f>
        <v>-7.5</v>
      </c>
      <c r="D24" s="1">
        <f>SUMPRODUCT($C$7:$G$7,B17:F17)</f>
        <v>12.5</v>
      </c>
    </row>
    <row r="25" spans="1:11" x14ac:dyDescent="0.35">
      <c r="A25" s="1" t="s">
        <v>19</v>
      </c>
      <c r="B25" s="1">
        <f>SUMPRODUCT($C$5:$G$5,B18:F18)</f>
        <v>5.5</v>
      </c>
      <c r="C25" s="1">
        <f xml:space="preserve"> SUMPRODUCT($C$6:$G$6,B18:F18)</f>
        <v>-9</v>
      </c>
      <c r="D25" s="1">
        <f xml:space="preserve"> SUMPRODUCT($C$7:$G$7,B18:F18)</f>
        <v>-5.4999999999999973</v>
      </c>
    </row>
    <row r="26" spans="1:11" x14ac:dyDescent="0.35">
      <c r="A26" s="1" t="s">
        <v>20</v>
      </c>
      <c r="B26" s="1">
        <f xml:space="preserve"> SUMPRODUCT($C$5:$G$5,B19:F19)</f>
        <v>5.3125</v>
      </c>
      <c r="C26" s="1">
        <f xml:space="preserve"> SUMPRODUCT($C$6:$G$6,B19:F19)</f>
        <v>-3.1875000000000004</v>
      </c>
      <c r="D26" s="1">
        <f xml:space="preserve"> SUMPRODUCT($C$7:$G$7,B19:F19)</f>
        <v>18.6875</v>
      </c>
    </row>
    <row r="29" spans="1:11" x14ac:dyDescent="0.35">
      <c r="A29" s="12" t="s">
        <v>21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5">
      <c r="A30" s="8"/>
      <c r="B30" s="8" t="s">
        <v>22</v>
      </c>
      <c r="C30" s="8" t="s">
        <v>23</v>
      </c>
      <c r="D30" s="8" t="s">
        <v>24</v>
      </c>
    </row>
    <row r="31" spans="1:11" x14ac:dyDescent="0.35">
      <c r="A31" s="6" t="s">
        <v>25</v>
      </c>
      <c r="B31" s="1">
        <f>MAX(B24:B26)</f>
        <v>8.5</v>
      </c>
      <c r="C31" s="1">
        <f>MIN(C24:C26)</f>
        <v>-9</v>
      </c>
      <c r="D31" s="1">
        <f>MAX(D24:D26)</f>
        <v>18.6875</v>
      </c>
    </row>
    <row r="32" spans="1:11" x14ac:dyDescent="0.35">
      <c r="A32" s="7" t="s">
        <v>26</v>
      </c>
      <c r="B32" s="1">
        <f>MIN(B24:B26)</f>
        <v>5.3125</v>
      </c>
      <c r="C32" s="1">
        <f>MAX(C24:C26)</f>
        <v>-3.1875000000000004</v>
      </c>
      <c r="D32" s="1">
        <f>MIN(D24:D26)</f>
        <v>-5.4999999999999973</v>
      </c>
    </row>
    <row r="33" spans="1:11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5" spans="1:11" x14ac:dyDescent="0.35">
      <c r="A35" s="13" t="s">
        <v>30</v>
      </c>
      <c r="B35" s="13"/>
      <c r="C35" s="13"/>
      <c r="D35" s="13"/>
      <c r="E35" s="13"/>
      <c r="G35" s="13" t="s">
        <v>31</v>
      </c>
      <c r="H35" s="13"/>
      <c r="I35" s="13"/>
      <c r="J35" s="13"/>
      <c r="K35" s="13"/>
    </row>
    <row r="36" spans="1:11" x14ac:dyDescent="0.35">
      <c r="A36" s="2" t="s">
        <v>27</v>
      </c>
      <c r="B36" s="2" t="s">
        <v>9</v>
      </c>
      <c r="C36" s="2" t="s">
        <v>11</v>
      </c>
      <c r="D36" s="2" t="s">
        <v>12</v>
      </c>
      <c r="G36" s="2" t="s">
        <v>27</v>
      </c>
      <c r="H36" s="2" t="s">
        <v>9</v>
      </c>
      <c r="I36" s="2" t="s">
        <v>11</v>
      </c>
      <c r="J36" s="2" t="s">
        <v>12</v>
      </c>
    </row>
    <row r="37" spans="1:11" ht="14" customHeight="1" x14ac:dyDescent="0.35">
      <c r="A37" s="1" t="s">
        <v>18</v>
      </c>
      <c r="B37" s="1">
        <f xml:space="preserve"> (B$31-B24) / B$31</f>
        <v>0</v>
      </c>
      <c r="C37" s="1">
        <f xml:space="preserve"> (C24-C$31) / ABS(C$31)</f>
        <v>0.16666666666666666</v>
      </c>
      <c r="D37" s="1">
        <f xml:space="preserve"> (D$31-D24) / D$31</f>
        <v>0.33110367892976589</v>
      </c>
      <c r="G37" s="1" t="s">
        <v>18</v>
      </c>
      <c r="H37" s="11">
        <f xml:space="preserve"> MAX($B$37:$D$39) - B37</f>
        <v>1.2943143812709028</v>
      </c>
      <c r="I37" s="1">
        <f xml:space="preserve"> MAX($B$37:$D$39) - C37</f>
        <v>1.1276477146042361</v>
      </c>
      <c r="J37" s="1">
        <f xml:space="preserve"> MAX($B$37:$D$39) - D37</f>
        <v>0.96321070234113693</v>
      </c>
    </row>
    <row r="38" spans="1:11" x14ac:dyDescent="0.35">
      <c r="A38" s="1" t="s">
        <v>19</v>
      </c>
      <c r="B38" s="1">
        <f xml:space="preserve"> (B$31-B25) / B$31</f>
        <v>0.35294117647058826</v>
      </c>
      <c r="C38" s="1">
        <f xml:space="preserve"> (C25-C$31) / ABS(C$31)</f>
        <v>0</v>
      </c>
      <c r="D38" s="1">
        <f xml:space="preserve"> (D$31-D25) / D$31</f>
        <v>1.2943143812709028</v>
      </c>
      <c r="G38" s="1" t="s">
        <v>19</v>
      </c>
      <c r="H38" s="1">
        <f xml:space="preserve"> MAX($B$37:$D$39) - B38</f>
        <v>0.9413732048003145</v>
      </c>
      <c r="I38" s="1">
        <f xml:space="preserve"> MAX($B$37:$D$39) - C38</f>
        <v>1.2943143812709028</v>
      </c>
      <c r="J38" s="1">
        <f xml:space="preserve"> MAX($B$37:$D$39) - D38</f>
        <v>0</v>
      </c>
    </row>
    <row r="39" spans="1:11" x14ac:dyDescent="0.35">
      <c r="A39" s="1" t="s">
        <v>20</v>
      </c>
      <c r="B39" s="1">
        <f xml:space="preserve"> (B$31-B26) / B$31</f>
        <v>0.375</v>
      </c>
      <c r="C39" s="1">
        <f xml:space="preserve"> (C26-C$31) / ABS(C$31)</f>
        <v>0.64583333333333337</v>
      </c>
      <c r="D39" s="1">
        <f xml:space="preserve"> (D$31-D26) / D$31</f>
        <v>0</v>
      </c>
      <c r="G39" s="1" t="s">
        <v>20</v>
      </c>
      <c r="H39" s="1">
        <f xml:space="preserve"> MAX($B$37:$D$39) - B39</f>
        <v>0.91931438127090281</v>
      </c>
      <c r="I39" s="1">
        <f xml:space="preserve"> MAX($B$37:$D$39) - C39</f>
        <v>0.64848104793756944</v>
      </c>
      <c r="J39" s="1">
        <f xml:space="preserve"> MAX($B$37:$D$39) - D39</f>
        <v>1.2943143812709028</v>
      </c>
    </row>
    <row r="42" spans="1:11" x14ac:dyDescent="0.35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x14ac:dyDescent="0.35">
      <c r="A43" s="17"/>
      <c r="B43" s="17"/>
      <c r="C43" s="17"/>
      <c r="D43" s="17"/>
      <c r="E43" s="18"/>
      <c r="F43" s="2" t="s">
        <v>29</v>
      </c>
      <c r="G43" s="2" t="s">
        <v>0</v>
      </c>
      <c r="H43" s="2" t="s">
        <v>1</v>
      </c>
      <c r="I43" s="2" t="s">
        <v>2</v>
      </c>
      <c r="J43" s="2" t="s">
        <v>3</v>
      </c>
      <c r="K43" s="2" t="s">
        <v>4</v>
      </c>
    </row>
    <row r="44" spans="1:11" x14ac:dyDescent="0.35">
      <c r="A44" s="19"/>
      <c r="B44" s="19"/>
      <c r="C44" s="18"/>
      <c r="D44" s="19"/>
      <c r="E44" s="18"/>
      <c r="F44" s="6" t="s">
        <v>29</v>
      </c>
      <c r="G44" s="1">
        <f xml:space="preserve"> A47*B17 + B47*B18 + C47*B19</f>
        <v>1.195588614670221</v>
      </c>
      <c r="H44" s="1">
        <f xml:space="preserve"> A47*C17 + B47*C18 + C47*C19</f>
        <v>0</v>
      </c>
      <c r="I44" s="1">
        <f xml:space="preserve"> A47*D17 + B47*D18 + C47*D19</f>
        <v>0.1522056926648894</v>
      </c>
      <c r="J44" s="1">
        <f xml:space="preserve"> A47*E17 + B47*E18 + C47*E19</f>
        <v>2.0380514231662223</v>
      </c>
      <c r="K44" s="1">
        <f xml:space="preserve"> A47*F17 + B47*F18 + C47*F19</f>
        <v>3.2716914610026659</v>
      </c>
    </row>
    <row r="45" spans="1:11" x14ac:dyDescent="0.35">
      <c r="A45" s="21" t="s">
        <v>43</v>
      </c>
      <c r="B45" s="21"/>
      <c r="C45" s="21"/>
      <c r="D45" s="21"/>
    </row>
    <row r="46" spans="1:11" x14ac:dyDescent="0.35">
      <c r="A46" s="2" t="s">
        <v>32</v>
      </c>
      <c r="B46" s="2" t="s">
        <v>33</v>
      </c>
      <c r="C46" s="2" t="s">
        <v>34</v>
      </c>
      <c r="D46" s="8" t="s">
        <v>37</v>
      </c>
    </row>
    <row r="47" spans="1:11" x14ac:dyDescent="0.35">
      <c r="A47">
        <v>0.79705907644681417</v>
      </c>
      <c r="B47">
        <v>0</v>
      </c>
      <c r="C47">
        <v>0.20294092355318588</v>
      </c>
      <c r="D47">
        <v>1.0304051887350012</v>
      </c>
      <c r="E47">
        <f xml:space="preserve"> A47*H37 + B47*H38 + C47*H39</f>
        <v>1.2182115349384581</v>
      </c>
    </row>
    <row r="48" spans="1:11" x14ac:dyDescent="0.35">
      <c r="E48">
        <f xml:space="preserve"> A47*I37 + B47*I38 + C47*I39</f>
        <v>1.0304051887350012</v>
      </c>
    </row>
    <row r="49" spans="1:5" x14ac:dyDescent="0.35">
      <c r="E49">
        <f xml:space="preserve"> A47*J37 + B47*J38 + C47*J39</f>
        <v>1.0304051887350012</v>
      </c>
    </row>
    <row r="50" spans="1:5" x14ac:dyDescent="0.35">
      <c r="E50">
        <f xml:space="preserve"> A47+B47+C47</f>
        <v>1</v>
      </c>
    </row>
    <row r="51" spans="1:5" x14ac:dyDescent="0.35">
      <c r="A51" s="21" t="s">
        <v>44</v>
      </c>
      <c r="B51" s="21"/>
      <c r="C51" s="21"/>
      <c r="D51" s="21"/>
    </row>
    <row r="52" spans="1:5" x14ac:dyDescent="0.35">
      <c r="A52" s="20" t="s">
        <v>40</v>
      </c>
      <c r="B52" s="20" t="s">
        <v>41</v>
      </c>
      <c r="C52" s="20" t="s">
        <v>42</v>
      </c>
      <c r="D52" s="20" t="s">
        <v>37</v>
      </c>
    </row>
    <row r="53" spans="1:5" x14ac:dyDescent="0.35">
      <c r="A53">
        <v>0</v>
      </c>
      <c r="B53">
        <v>0.59136641155731362</v>
      </c>
      <c r="C53">
        <v>0.40863358844268627</v>
      </c>
      <c r="D53">
        <v>1.030405188735001</v>
      </c>
      <c r="E53">
        <f xml:space="preserve"> A53*H37 + B53*J37 + C53*I37</f>
        <v>1.030405188735001</v>
      </c>
    </row>
    <row r="54" spans="1:5" x14ac:dyDescent="0.35">
      <c r="E54">
        <f xml:space="preserve"> A53*H38 + B53*J38 + C53*I38</f>
        <v>0.52890033019170424</v>
      </c>
    </row>
    <row r="55" spans="1:5" x14ac:dyDescent="0.35">
      <c r="E55">
        <f xml:space="preserve"> A53*H39 + B53*J39 + C53*I39</f>
        <v>1.0304051887350012</v>
      </c>
    </row>
    <row r="56" spans="1:5" x14ac:dyDescent="0.35">
      <c r="E56">
        <f xml:space="preserve"> A53+B53+C53</f>
        <v>0.99999999999999989</v>
      </c>
    </row>
  </sheetData>
  <mergeCells count="9">
    <mergeCell ref="A35:E35"/>
    <mergeCell ref="G35:K35"/>
    <mergeCell ref="A42:K42"/>
    <mergeCell ref="A1:H1"/>
    <mergeCell ref="A3:H3"/>
    <mergeCell ref="A9:H9"/>
    <mergeCell ref="A15:K15"/>
    <mergeCell ref="A22:K22"/>
    <mergeCell ref="A29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Варіант 17</vt:lpstr>
      <vt:lpstr>Тестовий варіант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2026-04-30T05:55:10Z</dcterms:created>
  <dcterms:modified xsi:type="dcterms:W3CDTF">2026-05-26T11:49:00Z</dcterms:modified>
</cp:coreProperties>
</file>